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315D377610709C0/Attachments/Documents/"/>
    </mc:Choice>
  </mc:AlternateContent>
  <xr:revisionPtr revIDLastSave="372" documentId="8_{5382A735-3B46-4DC4-BA47-C49B38222CC8}" xr6:coauthVersionLast="47" xr6:coauthVersionMax="47" xr10:uidLastSave="{DECDF910-DCAA-4B47-8F21-8786E618D8B4}"/>
  <bookViews>
    <workbookView xWindow="-108" yWindow="-108" windowWidth="23256" windowHeight="12456" xr2:uid="{00000000-000D-0000-FFFF-FFFF00000000}"/>
  </bookViews>
  <sheets>
    <sheet name="Dashboard" sheetId="2" r:id="rId1"/>
    <sheet name="Student_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" l="1"/>
  <c r="G13" i="1"/>
  <c r="F13" i="1"/>
  <c r="I10" i="1"/>
  <c r="I8" i="1"/>
  <c r="I6" i="1"/>
  <c r="F6" i="1"/>
  <c r="H11" i="1"/>
  <c r="H10" i="1"/>
  <c r="H9" i="1"/>
  <c r="H8" i="1"/>
  <c r="G6" i="1"/>
  <c r="G11" i="1"/>
  <c r="G10" i="1"/>
  <c r="G9" i="1"/>
  <c r="G8" i="1"/>
  <c r="H6" i="1"/>
  <c r="H4" i="1"/>
  <c r="G4" i="1"/>
  <c r="F4" i="1"/>
  <c r="J2" i="1"/>
  <c r="I2" i="1"/>
  <c r="H2" i="1"/>
  <c r="G2" i="1"/>
  <c r="F2" i="1"/>
</calcChain>
</file>

<file path=xl/sharedStrings.xml><?xml version="1.0" encoding="utf-8"?>
<sst xmlns="http://schemas.openxmlformats.org/spreadsheetml/2006/main" count="163" uniqueCount="158">
  <si>
    <t>Student_ID</t>
  </si>
  <si>
    <t>Attendance_%</t>
  </si>
  <si>
    <t>Study_Hours_per_Week</t>
  </si>
  <si>
    <t>Assignments_Completed</t>
  </si>
  <si>
    <t>Marks_%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</si>
  <si>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</si>
  <si>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</si>
  <si>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</si>
  <si>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</si>
  <si>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</si>
  <si>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</si>
  <si>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</si>
  <si>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</si>
  <si>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</si>
  <si>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</si>
  <si>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</si>
  <si>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</si>
  <si>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</si>
  <si>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</si>
  <si>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</si>
  <si>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</si>
  <si>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</si>
  <si>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</si>
  <si>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</si>
  <si>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</si>
  <si>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</si>
  <si>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</si>
  <si>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</si>
  <si>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</si>
  <si>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</si>
  <si>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</si>
  <si>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</si>
  <si>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</si>
  <si>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</si>
  <si>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</si>
  <si>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</si>
  <si>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</si>
  <si>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</si>
  <si>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</si>
  <si>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</si>
  <si>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</si>
  <si>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</si>
  <si>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</si>
  <si>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</si>
  <si>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</si>
  <si>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</si>
  <si>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</si>
  <si>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</si>
  <si>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</si>
  <si>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</si>
  <si>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</si>
  <si>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</si>
  <si>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</si>
  <si>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</si>
  <si>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</si>
  <si>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</si>
  <si>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</si>
  <si>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</si>
  <si>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</si>
  <si>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</si>
  <si>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</si>
  <si>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</si>
  <si>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</si>
  <si>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</si>
  <si>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</si>
  <si>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</si>
  <si>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</si>
  <si>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</si>
  <si>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</si>
  <si>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</si>
  <si>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</si>
  <si>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</si>
  <si>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</si>
  <si>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</si>
  <si>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</si>
  <si>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</si>
  <si>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</si>
  <si>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</si>
  <si>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</si>
  <si>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</si>
  <si>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</si>
  <si>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</si>
  <si>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</si>
  <si>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</si>
  <si>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</si>
  <si>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</si>
  <si>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</si>
  <si>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</si>
  <si>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</si>
  <si>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</si>
  <si>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</si>
  <si>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</si>
  <si>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</si>
  <si>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</si>
  <si>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</si>
  <si>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</si>
  <si>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</si>
  <si>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</si>
  <si>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</si>
  <si>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</si>
  <si>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</si>
  <si>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</si>
  <si>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</si>
  <si>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</si>
  <si>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</si>
  <si>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Average_%</t>
  </si>
  <si>
    <t>&lt;75%</t>
  </si>
  <si>
    <t>Average_marks</t>
  </si>
  <si>
    <t>?</t>
  </si>
  <si>
    <t>??</t>
  </si>
  <si>
    <t>A</t>
  </si>
  <si>
    <t>B</t>
  </si>
  <si>
    <t>Attendance Group</t>
  </si>
  <si>
    <t>Average marks</t>
  </si>
  <si>
    <t>75% or above</t>
  </si>
  <si>
    <t>Below 75%</t>
  </si>
  <si>
    <t>C</t>
  </si>
  <si>
    <t>Marks</t>
  </si>
  <si>
    <t>&gt;Marks</t>
  </si>
  <si>
    <t>Who</t>
  </si>
  <si>
    <t>Metric</t>
  </si>
  <si>
    <t>Attendance</t>
  </si>
  <si>
    <t>Study hours/week</t>
  </si>
  <si>
    <t>Assignments Completed</t>
  </si>
  <si>
    <t>Lowest</t>
  </si>
  <si>
    <t>Averageif</t>
  </si>
  <si>
    <t>averageifelse</t>
  </si>
  <si>
    <t>Studyhr&lt;</t>
  </si>
  <si>
    <t>Studyhr&gt;</t>
  </si>
  <si>
    <t>Attendance ↔ Marks</t>
  </si>
  <si>
    <t>Study Hours ↔ Marks</t>
  </si>
  <si>
    <t>Assignments ↔ Marks</t>
  </si>
  <si>
    <t>Average Attendance</t>
  </si>
  <si>
    <t>Average Marks</t>
  </si>
  <si>
    <t>Average Study Hours</t>
  </si>
  <si>
    <t>Highest Marks</t>
  </si>
  <si>
    <t>Lowest Marks</t>
  </si>
  <si>
    <t>Students Below 75% Attendance</t>
  </si>
  <si>
    <t>Marks – Attendance ≥75%</t>
  </si>
  <si>
    <t>Marks – Attendance &lt;75%</t>
  </si>
  <si>
    <t>Marks – 5+ Assignments</t>
  </si>
  <si>
    <t>Marks – &lt;5 Assignments</t>
  </si>
  <si>
    <t>Marks – 8+ Study Hours</t>
  </si>
  <si>
    <t>Marks – &lt;8 Study Hours</t>
  </si>
  <si>
    <t>Correlation: Attendance &amp; Marks</t>
  </si>
  <si>
    <t>Correlation: Study Hours &amp; Marks</t>
  </si>
  <si>
    <t>Correlation: Assignments &amp; Marks</t>
  </si>
  <si>
    <t>Study Hours Group</t>
  </si>
  <si>
    <t>8+ hours</t>
  </si>
  <si>
    <t>Below 8 hours</t>
  </si>
  <si>
    <t>Assignment Group</t>
  </si>
  <si>
    <t>5+ assignments</t>
  </si>
  <si>
    <t>Below 5 assignments</t>
  </si>
  <si>
    <t>STUDENT ATTENDANCE &amp; PERFORMANCE ANALYSIS</t>
  </si>
  <si>
    <t>Key Metric</t>
  </si>
  <si>
    <t>Value</t>
  </si>
  <si>
    <t>PROJECT CONCLUSION</t>
  </si>
  <si>
    <t>Overall, the analysis shows that students with better attendance, more study hours, and more completed assignments tend to achieve better marks. Students with 75% or higher attendance have an average mark of 73.30%, compared with 70.40% for students below 75% attendance. Students studying 8 or more hours have an average mark of 76.80%, compared with 66.50% for students studying below 8 hours. Similarly, students completing 5 or more assignments have an average mark of 73.50%, compared with 62.60% for students completing fewer than 5 assignments. Study hours also have the strongest correlation with marks at 0.6.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</si>
</sst>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Bell MT"/>
      <family val="1"/>
    </font>
    <font>
      <b/>
      <sz val="18"/>
      <color theme="1"/>
      <name val="Bell MT"/>
      <family val="1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6" tint="-0.249977111117893"/>
      </left>
      <right style="thin">
        <color theme="6" tint="-0.249977111117893"/>
      </right>
      <top style="thin">
        <color theme="6" tint="-0.249977111117893"/>
      </top>
      <bottom style="thin">
        <color theme="6" tint="-0.249977111117893"/>
      </bottom>
      <diagonal/>
    </border>
    <border>
      <left/>
      <right/>
      <top style="thin">
        <color theme="6" tint="-0.249977111117893"/>
      </top>
      <bottom/>
      <diagonal/>
    </border>
    <border>
      <left/>
      <right/>
      <top/>
      <bottom style="thin">
        <color theme="6" tint="-0.249977111117893"/>
      </bottom>
      <diagonal/>
    </border>
    <border>
      <left/>
      <right style="thin">
        <color theme="6" tint="-0.249977111117893"/>
      </right>
      <top/>
      <bottom/>
      <diagonal/>
    </border>
    <border>
      <left style="thin">
        <color theme="6" tint="-0.249977111117893"/>
      </left>
      <right style="thin">
        <color theme="6" tint="-0.249977111117893"/>
      </right>
      <top/>
      <bottom style="thin">
        <color theme="6" tint="-0.249977111117893"/>
      </bottom>
      <diagonal/>
    </border>
    <border>
      <left style="thin">
        <color theme="6" tint="-0.249977111117893"/>
      </left>
      <right style="thin">
        <color theme="6" tint="-0.249977111117893"/>
      </right>
      <top/>
      <bottom/>
      <diagonal/>
    </border>
    <border>
      <left style="thin">
        <color theme="6" tint="-0.249977111117893"/>
      </left>
      <right style="thin">
        <color theme="6" tint="-0.249977111117893"/>
      </right>
      <top style="thin">
        <color theme="6" tint="-0.249977111117893"/>
      </top>
      <bottom/>
      <diagonal/>
    </border>
    <border>
      <left/>
      <right style="thin">
        <color theme="6" tint="-0.249977111117893"/>
      </right>
      <top/>
      <bottom style="thin">
        <color theme="6" tint="-0.249977111117893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1" applyNumberFormat="1" applyFont="1"/>
    <xf numFmtId="164" fontId="0" fillId="0" borderId="0" xfId="0" applyNumberFormat="1"/>
    <xf numFmtId="0" fontId="0" fillId="0" borderId="1" xfId="0" applyBorder="1"/>
    <xf numFmtId="0" fontId="1" fillId="0" borderId="2" xfId="0" applyFont="1" applyBorder="1" applyAlignment="1">
      <alignment horizontal="center" vertical="top"/>
    </xf>
    <xf numFmtId="10" fontId="0" fillId="0" borderId="1" xfId="0" applyNumberFormat="1" applyBorder="1"/>
    <xf numFmtId="2" fontId="0" fillId="0" borderId="1" xfId="0" applyNumberFormat="1" applyBorder="1"/>
    <xf numFmtId="0" fontId="1" fillId="0" borderId="1" xfId="0" applyFont="1" applyBorder="1"/>
    <xf numFmtId="0" fontId="0" fillId="0" borderId="0" xfId="0" applyAlignment="1">
      <alignment vertical="center" wrapText="1"/>
    </xf>
    <xf numFmtId="0" fontId="0" fillId="0" borderId="4" xfId="0" applyBorder="1"/>
    <xf numFmtId="0" fontId="0" fillId="0" borderId="0" xfId="0" applyBorder="1"/>
    <xf numFmtId="0" fontId="3" fillId="0" borderId="3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10" fontId="3" fillId="0" borderId="6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9" fontId="3" fillId="0" borderId="3" xfId="0" applyNumberFormat="1" applyFont="1" applyBorder="1" applyAlignment="1">
      <alignment horizontal="center" vertical="center" wrapText="1"/>
    </xf>
    <xf numFmtId="10" fontId="3" fillId="0" borderId="3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0" fontId="0" fillId="0" borderId="0" xfId="0" applyNumberFormat="1" applyAlignment="1">
      <alignment vertical="center" wrapText="1"/>
    </xf>
    <xf numFmtId="10" fontId="0" fillId="0" borderId="9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0" fontId="0" fillId="0" borderId="3" xfId="0" applyNumberForma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/>
    </xf>
    <xf numFmtId="0" fontId="0" fillId="4" borderId="3" xfId="0" applyFill="1" applyBorder="1" applyAlignment="1">
      <alignment horizontal="center" vertical="center" wrapText="1"/>
    </xf>
    <xf numFmtId="10" fontId="0" fillId="4" borderId="3" xfId="0" applyNumberForma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wrapText="1"/>
    </xf>
    <xf numFmtId="0" fontId="0" fillId="0" borderId="0" xfId="0" applyFont="1" applyBorder="1" applyAlignment="1">
      <alignment horizontal="center" wrapText="1"/>
    </xf>
    <xf numFmtId="0" fontId="5" fillId="2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0" i="0" u="none" strike="noStrike" baseline="0"/>
              <a:t>Average Marks by Attendance Group</a:t>
            </a:r>
            <a:endParaRPr lang="en-IN" sz="1100"/>
          </a:p>
        </c:rich>
      </c:tx>
      <c:layout>
        <c:manualLayout>
          <c:xMode val="edge"/>
          <c:yMode val="edge"/>
          <c:x val="0.12167502399795933"/>
          <c:y val="3.60750360750360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2195902595508895"/>
          <c:y val="0.19045375878233559"/>
          <c:w val="0.85334951881014875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Student_Data!$L$4:$L$5</c:f>
              <c:strCache>
                <c:ptCount val="2"/>
                <c:pt idx="0">
                  <c:v>B</c:v>
                </c:pt>
                <c:pt idx="1">
                  <c:v>Average 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Student_Data!$K$6:$K$7</c:f>
              <c:strCache>
                <c:ptCount val="2"/>
                <c:pt idx="0">
                  <c:v>75% or above</c:v>
                </c:pt>
                <c:pt idx="1">
                  <c:v>Below 75%</c:v>
                </c:pt>
              </c:strCache>
            </c:strRef>
          </c:cat>
          <c:val>
            <c:numRef>
              <c:f>Student_Data!$L$6:$L$7</c:f>
              <c:numCache>
                <c:formatCode>0.00%</c:formatCode>
                <c:ptCount val="2"/>
                <c:pt idx="0">
                  <c:v>0.73299999999999998</c:v>
                </c:pt>
                <c:pt idx="1">
                  <c:v>0.70399999999999996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5E-4A12-8D98-09B97719B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3"/>
        <c:overlap val="41"/>
        <c:axId val="1186975152"/>
        <c:axId val="1060769744"/>
      </c:barChart>
      <c:catAx>
        <c:axId val="118697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769744"/>
        <c:crosses val="autoZero"/>
        <c:auto val="1"/>
        <c:lblAlgn val="ctr"/>
        <c:lblOffset val="100"/>
        <c:noMultiLvlLbl val="0"/>
      </c:catAx>
      <c:valAx>
        <c:axId val="106076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975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0" i="0" u="none" strike="noStrike" baseline="0"/>
              <a:t>Average Marks by Study Hours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Dashboard!$E$2</c:f>
              <c:strCache>
                <c:ptCount val="1"/>
                <c:pt idx="0">
                  <c:v>Average Marks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Dashboard!$D$3:$D$4</c:f>
              <c:strCache>
                <c:ptCount val="2"/>
                <c:pt idx="0">
                  <c:v>8+ hours</c:v>
                </c:pt>
                <c:pt idx="1">
                  <c:v>Below 8 hours</c:v>
                </c:pt>
              </c:strCache>
            </c:strRef>
          </c:cat>
          <c:val>
            <c:numRef>
              <c:f>Dashboard!$E$3:$E$4</c:f>
              <c:numCache>
                <c:formatCode>0.00%</c:formatCode>
                <c:ptCount val="2"/>
                <c:pt idx="0">
                  <c:v>0.76800000000000002</c:v>
                </c:pt>
                <c:pt idx="1">
                  <c:v>0.66500000000000004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4D-4EF0-9183-F14027FC0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6235823"/>
        <c:axId val="773675791"/>
      </c:barChart>
      <c:catAx>
        <c:axId val="426235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675791"/>
        <c:crosses val="autoZero"/>
        <c:auto val="1"/>
        <c:lblAlgn val="ctr"/>
        <c:lblOffset val="100"/>
        <c:noMultiLvlLbl val="0"/>
      </c:catAx>
      <c:valAx>
        <c:axId val="77367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235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0" i="0" u="none" strike="noStrike" baseline="0"/>
              <a:t>Average Marks by Assignments Group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Dashboard!$H$2</c:f>
              <c:strCache>
                <c:ptCount val="1"/>
                <c:pt idx="0">
                  <c:v>Average Marks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Dashboard!$G$3:$G$4</c:f>
              <c:strCache>
                <c:ptCount val="2"/>
                <c:pt idx="0">
                  <c:v>5+ assignments</c:v>
                </c:pt>
                <c:pt idx="1">
                  <c:v>Below 5 assignments</c:v>
                </c:pt>
              </c:strCache>
            </c:strRef>
          </c:cat>
          <c:val>
            <c:numRef>
              <c:f>Dashboard!$H$3:$H$4</c:f>
              <c:numCache>
                <c:formatCode>0.00%</c:formatCode>
                <c:ptCount val="2"/>
                <c:pt idx="0">
                  <c:v>0.73499999999999999</c:v>
                </c:pt>
                <c:pt idx="1">
                  <c:v>0.626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A6-4419-A1F5-585DCCB50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0874655"/>
        <c:axId val="428627087"/>
      </c:barChart>
      <c:catAx>
        <c:axId val="750874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627087"/>
        <c:crosses val="autoZero"/>
        <c:auto val="1"/>
        <c:lblAlgn val="ctr"/>
        <c:lblOffset val="100"/>
        <c:noMultiLvlLbl val="0"/>
      </c:catAx>
      <c:valAx>
        <c:axId val="428627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874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</xdr:colOff>
      <xdr:row>6</xdr:row>
      <xdr:rowOff>53340</xdr:rowOff>
    </xdr:from>
    <xdr:to>
      <xdr:col>9</xdr:col>
      <xdr:colOff>419100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D9E3BA-7787-D6A5-5ECA-BCD2354DC5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99060</xdr:colOff>
      <xdr:row>6</xdr:row>
      <xdr:rowOff>30480</xdr:rowOff>
    </xdr:from>
    <xdr:to>
      <xdr:col>5</xdr:col>
      <xdr:colOff>518160</xdr:colOff>
      <xdr:row>16</xdr:row>
      <xdr:rowOff>53340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C72CA6D-17E6-1EFE-17E1-A4D988AEED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556260</xdr:colOff>
      <xdr:row>6</xdr:row>
      <xdr:rowOff>80010</xdr:rowOff>
    </xdr:from>
    <xdr:to>
      <xdr:col>15</xdr:col>
      <xdr:colOff>518160</xdr:colOff>
      <xdr:row>16</xdr:row>
      <xdr:rowOff>7620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3BC40F9-33C0-F903-9B5A-C889275B19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90E1A-12F0-4197-949F-4DF3E00E8E43}">
  <dimension ref="A1:U25"/>
  <sheetViews>
    <sheetView tabSelected="1" zoomScale="80" workbookViewId="0">
      <selection activeCell="L3" sqref="L3"/>
    </sheetView>
  </sheetViews>
  <sheetFormatPr defaultRowHeight="14.4" x14ac:dyDescent="0.3"/>
  <cols>
    <col min="1" max="1" width="30.33203125" customWidth="1"/>
    <col min="2" max="2" width="15.88671875" customWidth="1"/>
    <col min="4" max="4" width="18.21875" customWidth="1"/>
    <col min="5" max="5" width="15" customWidth="1"/>
    <col min="7" max="7" width="18.33203125" customWidth="1"/>
    <col min="8" max="8" width="14.33203125" customWidth="1"/>
    <col min="16" max="16" width="7.21875" customWidth="1"/>
    <col min="17" max="17" width="3.88671875" hidden="1" customWidth="1"/>
  </cols>
  <sheetData>
    <row r="1" spans="1:21" ht="22.8" customHeight="1" x14ac:dyDescent="0.5">
      <c r="A1" s="33" t="s">
        <v>153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8"/>
      <c r="R1" s="39"/>
      <c r="S1" s="39"/>
      <c r="T1" s="39"/>
      <c r="U1" s="39"/>
    </row>
    <row r="2" spans="1:21" ht="22.2" customHeight="1" x14ac:dyDescent="0.3">
      <c r="A2" s="29" t="s">
        <v>154</v>
      </c>
      <c r="B2" s="30" t="s">
        <v>155</v>
      </c>
      <c r="D2" s="31" t="s">
        <v>147</v>
      </c>
      <c r="E2" s="32" t="s">
        <v>133</v>
      </c>
      <c r="G2" s="28" t="s">
        <v>150</v>
      </c>
      <c r="H2" s="28" t="s">
        <v>133</v>
      </c>
    </row>
    <row r="3" spans="1:21" ht="15.6" x14ac:dyDescent="0.3">
      <c r="A3" s="13" t="s">
        <v>132</v>
      </c>
      <c r="B3" s="21">
        <v>0.76900000000000002</v>
      </c>
      <c r="D3" s="26" t="s">
        <v>148</v>
      </c>
      <c r="E3" s="24">
        <v>0.76800000000000002</v>
      </c>
      <c r="G3" s="34" t="s">
        <v>151</v>
      </c>
      <c r="H3" s="35">
        <v>0.73499999999999999</v>
      </c>
    </row>
    <row r="4" spans="1:21" ht="31.2" x14ac:dyDescent="0.3">
      <c r="A4" s="12" t="s">
        <v>137</v>
      </c>
      <c r="B4" s="16">
        <v>43</v>
      </c>
      <c r="D4" s="25" t="s">
        <v>149</v>
      </c>
      <c r="E4" s="27">
        <v>0.66500000000000004</v>
      </c>
      <c r="G4" s="34" t="s">
        <v>152</v>
      </c>
      <c r="H4" s="35">
        <v>0.626</v>
      </c>
    </row>
    <row r="5" spans="1:21" ht="15.6" x14ac:dyDescent="0.3">
      <c r="A5" s="13" t="s">
        <v>133</v>
      </c>
      <c r="B5" s="17">
        <v>0.72099999999999997</v>
      </c>
      <c r="D5" s="9"/>
      <c r="E5" s="23"/>
      <c r="G5" s="9"/>
      <c r="H5" s="23"/>
    </row>
    <row r="6" spans="1:21" ht="15.6" x14ac:dyDescent="0.3">
      <c r="A6" s="14" t="s">
        <v>134</v>
      </c>
      <c r="B6" s="18">
        <v>8.1</v>
      </c>
    </row>
    <row r="7" spans="1:21" ht="15.6" x14ac:dyDescent="0.3">
      <c r="A7" s="14" t="s">
        <v>135</v>
      </c>
      <c r="B7" s="19">
        <v>0.98</v>
      </c>
      <c r="E7" s="11"/>
    </row>
    <row r="8" spans="1:21" ht="15.6" x14ac:dyDescent="0.3">
      <c r="A8" s="14" t="s">
        <v>136</v>
      </c>
      <c r="B8" s="20">
        <v>0.51800000000000002</v>
      </c>
    </row>
    <row r="9" spans="1:21" ht="15.6" x14ac:dyDescent="0.3">
      <c r="A9" s="12" t="s">
        <v>138</v>
      </c>
      <c r="B9" s="21">
        <v>0.73299999999999998</v>
      </c>
    </row>
    <row r="10" spans="1:21" ht="15.6" x14ac:dyDescent="0.3">
      <c r="A10" s="13" t="s">
        <v>139</v>
      </c>
      <c r="B10" s="17">
        <v>0.70399999999999996</v>
      </c>
    </row>
    <row r="11" spans="1:21" ht="15.6" x14ac:dyDescent="0.3">
      <c r="A11" s="14" t="s">
        <v>140</v>
      </c>
      <c r="B11" s="20">
        <v>0.73499999999999999</v>
      </c>
    </row>
    <row r="12" spans="1:21" ht="15.6" x14ac:dyDescent="0.3">
      <c r="A12" s="14" t="s">
        <v>141</v>
      </c>
      <c r="B12" s="20">
        <v>0.626</v>
      </c>
    </row>
    <row r="13" spans="1:21" ht="15.6" x14ac:dyDescent="0.3">
      <c r="A13" s="12" t="s">
        <v>142</v>
      </c>
      <c r="B13" s="20">
        <v>0.76800000000000002</v>
      </c>
    </row>
    <row r="14" spans="1:21" ht="15.6" x14ac:dyDescent="0.3">
      <c r="A14" s="12" t="s">
        <v>143</v>
      </c>
      <c r="B14" s="20">
        <v>0.66500000000000004</v>
      </c>
    </row>
    <row r="15" spans="1:21" ht="31.2" x14ac:dyDescent="0.3">
      <c r="A15" s="15" t="s">
        <v>144</v>
      </c>
      <c r="B15" s="18">
        <v>0.3</v>
      </c>
    </row>
    <row r="16" spans="1:21" ht="31.2" x14ac:dyDescent="0.3">
      <c r="A16" s="12" t="s">
        <v>145</v>
      </c>
      <c r="B16" s="22">
        <v>0.6</v>
      </c>
      <c r="D16" s="11"/>
    </row>
    <row r="17" spans="1:17" ht="31.2" x14ac:dyDescent="0.3">
      <c r="A17" s="15" t="s">
        <v>146</v>
      </c>
      <c r="B17" s="18">
        <v>0.5</v>
      </c>
      <c r="D17" s="11"/>
    </row>
    <row r="18" spans="1:17" x14ac:dyDescent="0.3">
      <c r="A18" s="10"/>
    </row>
    <row r="19" spans="1:17" ht="27" customHeight="1" x14ac:dyDescent="0.45">
      <c r="A19" s="36" t="s">
        <v>156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</row>
    <row r="20" spans="1:17" ht="4.2" customHeight="1" x14ac:dyDescent="0.3">
      <c r="A20" s="37" t="s">
        <v>157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</row>
    <row r="21" spans="1:17" hidden="1" x14ac:dyDescent="0.3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</row>
    <row r="22" spans="1:17" hidden="1" x14ac:dyDescent="0.3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</row>
    <row r="23" spans="1:17" x14ac:dyDescent="0.3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</row>
    <row r="24" spans="1:17" x14ac:dyDescent="0.3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</row>
    <row r="25" spans="1:17" x14ac:dyDescent="0.3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</row>
  </sheetData>
  <mergeCells count="3">
    <mergeCell ref="A20:Q25"/>
    <mergeCell ref="A19:P19"/>
    <mergeCell ref="A1:P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workbookViewId="0">
      <selection activeCell="H13" sqref="H13"/>
    </sheetView>
  </sheetViews>
  <sheetFormatPr defaultRowHeight="14.4" x14ac:dyDescent="0.3"/>
  <cols>
    <col min="1" max="1" width="10.44140625" bestFit="1" customWidth="1"/>
    <col min="2" max="2" width="13.33203125" bestFit="1" customWidth="1"/>
    <col min="3" max="3" width="21.6640625" bestFit="1" customWidth="1"/>
    <col min="4" max="4" width="22.109375" bestFit="1" customWidth="1"/>
    <col min="5" max="5" width="8.6640625" bestFit="1" customWidth="1"/>
    <col min="6" max="6" width="20.5546875" bestFit="1" customWidth="1"/>
    <col min="7" max="7" width="19.33203125" bestFit="1" customWidth="1"/>
    <col min="8" max="8" width="20.5546875" bestFit="1" customWidth="1"/>
    <col min="9" max="9" width="12" bestFit="1" customWidth="1"/>
    <col min="11" max="11" width="15.88671875" bestFit="1" customWidth="1"/>
    <col min="12" max="12" width="12.8867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105</v>
      </c>
      <c r="G1" s="1" t="s">
        <v>106</v>
      </c>
      <c r="H1" s="1" t="s">
        <v>107</v>
      </c>
      <c r="I1" s="5" t="s">
        <v>108</v>
      </c>
      <c r="J1" s="1" t="s">
        <v>109</v>
      </c>
    </row>
    <row r="2" spans="1:12" x14ac:dyDescent="0.3">
      <c r="A2" t="s">
        <v>5</v>
      </c>
      <c r="B2">
        <v>83.5</v>
      </c>
      <c r="C2">
        <v>3.8</v>
      </c>
      <c r="D2">
        <v>5</v>
      </c>
      <c r="E2">
        <v>69</v>
      </c>
      <c r="F2" s="2">
        <f>AVERAGE(B2:B101)</f>
        <v>76.853999999999999</v>
      </c>
      <c r="G2">
        <f>COUNTIF(B2:B101,"&lt;75")</f>
        <v>43</v>
      </c>
      <c r="H2" s="3">
        <f>AVERAGE(E2:E101)</f>
        <v>72.075999999999979</v>
      </c>
      <c r="I2" s="3">
        <f>AVERAGEIF(B2:B101,"&gt;=75",E2:E101)</f>
        <v>73.31403508771929</v>
      </c>
      <c r="J2" s="3">
        <f>AVERAGEIF(B2:B101,"&lt;=75",E2:E101)</f>
        <v>70.434883720930216</v>
      </c>
    </row>
    <row r="3" spans="1:12" x14ac:dyDescent="0.3">
      <c r="A3" t="s">
        <v>6</v>
      </c>
      <c r="B3">
        <v>76.5</v>
      </c>
      <c r="C3">
        <v>6.7</v>
      </c>
      <c r="D3">
        <v>5</v>
      </c>
      <c r="E3">
        <v>61.1</v>
      </c>
      <c r="F3" s="7" t="s">
        <v>116</v>
      </c>
      <c r="G3" s="4" t="s">
        <v>117</v>
      </c>
      <c r="H3" s="4" t="s">
        <v>118</v>
      </c>
    </row>
    <row r="4" spans="1:12" x14ac:dyDescent="0.3">
      <c r="A4" t="s">
        <v>7</v>
      </c>
      <c r="B4">
        <v>85.1</v>
      </c>
      <c r="C4">
        <v>7</v>
      </c>
      <c r="D4">
        <v>4</v>
      </c>
      <c r="E4">
        <v>63.4</v>
      </c>
      <c r="F4" s="3">
        <f>AVERAGE(C2:C101)</f>
        <v>8.07</v>
      </c>
      <c r="G4">
        <f>MAX(E2:E101)</f>
        <v>98</v>
      </c>
      <c r="H4">
        <f>MIN(E2:E101)</f>
        <v>51.8</v>
      </c>
      <c r="K4" s="4" t="s">
        <v>110</v>
      </c>
      <c r="L4" s="4" t="s">
        <v>111</v>
      </c>
    </row>
    <row r="5" spans="1:12" x14ac:dyDescent="0.3">
      <c r="A5" t="s">
        <v>8</v>
      </c>
      <c r="B5">
        <v>94.8</v>
      </c>
      <c r="C5">
        <v>5.6</v>
      </c>
      <c r="D5">
        <v>4</v>
      </c>
      <c r="E5">
        <v>61.8</v>
      </c>
      <c r="F5" s="8" t="s">
        <v>125</v>
      </c>
      <c r="G5" s="4" t="s">
        <v>124</v>
      </c>
      <c r="H5" s="4" t="s">
        <v>119</v>
      </c>
      <c r="I5" s="8" t="s">
        <v>126</v>
      </c>
      <c r="K5" s="4" t="s">
        <v>112</v>
      </c>
      <c r="L5" s="4" t="s">
        <v>113</v>
      </c>
    </row>
    <row r="6" spans="1:12" x14ac:dyDescent="0.3">
      <c r="A6" t="s">
        <v>9</v>
      </c>
      <c r="B6">
        <v>75.400000000000006</v>
      </c>
      <c r="C6">
        <v>7.5</v>
      </c>
      <c r="D6">
        <v>4</v>
      </c>
      <c r="E6">
        <v>57.2</v>
      </c>
      <c r="F6" s="3">
        <f>AVERAGEIF(D2:D101,"&gt;=5",E2:E101)</f>
        <v>73.485057471264355</v>
      </c>
      <c r="G6" t="str">
        <f>_xlfn.XLOOKUP(MIN(E2:E101),E2:E101,A2:A101)</f>
        <v>S024</v>
      </c>
      <c r="H6" t="str">
        <f>_xlfn.XLOOKUP(MAX(E2:E101),E2:E101,A2:A101)</f>
        <v>S007</v>
      </c>
      <c r="I6" s="3">
        <f>AVERAGEIF(D2:D101,"&lt;5",E2:E101)</f>
        <v>62.646153846153844</v>
      </c>
      <c r="K6" s="4" t="s">
        <v>114</v>
      </c>
      <c r="L6" s="6">
        <v>0.73299999999999998</v>
      </c>
    </row>
    <row r="7" spans="1:12" x14ac:dyDescent="0.3">
      <c r="A7" t="s">
        <v>10</v>
      </c>
      <c r="B7">
        <v>75.400000000000006</v>
      </c>
      <c r="C7">
        <v>9.1999999999999993</v>
      </c>
      <c r="D7">
        <v>6</v>
      </c>
      <c r="E7">
        <v>70.3</v>
      </c>
      <c r="F7" s="8" t="s">
        <v>120</v>
      </c>
      <c r="G7" s="8" t="s">
        <v>11</v>
      </c>
      <c r="H7" s="8" t="s">
        <v>28</v>
      </c>
      <c r="I7" s="8" t="s">
        <v>128</v>
      </c>
      <c r="K7" s="4" t="s">
        <v>115</v>
      </c>
      <c r="L7" s="6">
        <v>0.70399999999999996</v>
      </c>
    </row>
    <row r="8" spans="1:12" x14ac:dyDescent="0.3">
      <c r="A8" t="s">
        <v>11</v>
      </c>
      <c r="B8">
        <v>95.4</v>
      </c>
      <c r="C8">
        <v>13.7</v>
      </c>
      <c r="D8">
        <v>9</v>
      </c>
      <c r="E8">
        <v>98</v>
      </c>
      <c r="F8" s="4" t="s">
        <v>121</v>
      </c>
      <c r="G8" s="4">
        <f>_xlfn.XLOOKUP("S007",A2:A101,B2:B101)</f>
        <v>95.4</v>
      </c>
      <c r="H8" s="4">
        <f>_xlfn.XLOOKUP("S024",A2:A101,B2:B101)</f>
        <v>62.3</v>
      </c>
      <c r="I8" s="3">
        <f>AVERAGEIF(C2:C101,"&gt;=8",E2:E101)</f>
        <v>76.796296296296276</v>
      </c>
    </row>
    <row r="9" spans="1:12" x14ac:dyDescent="0.3">
      <c r="A9" t="s">
        <v>12</v>
      </c>
      <c r="B9">
        <v>86.4</v>
      </c>
      <c r="C9">
        <v>8.5</v>
      </c>
      <c r="D9">
        <v>10</v>
      </c>
      <c r="E9">
        <v>72.400000000000006</v>
      </c>
      <c r="F9" s="4" t="s">
        <v>122</v>
      </c>
      <c r="G9" s="4">
        <f>_xlfn.XLOOKUP("S007",A2:A101,C2:C101)</f>
        <v>13.7</v>
      </c>
      <c r="H9" s="4">
        <f>_xlfn.XLOOKUP("S024",A2:A101,C2:C101)</f>
        <v>3.8</v>
      </c>
      <c r="I9" s="8" t="s">
        <v>127</v>
      </c>
    </row>
    <row r="10" spans="1:12" x14ac:dyDescent="0.3">
      <c r="A10" t="s">
        <v>13</v>
      </c>
      <c r="B10">
        <v>72.8</v>
      </c>
      <c r="C10">
        <v>8.8000000000000007</v>
      </c>
      <c r="D10">
        <v>8</v>
      </c>
      <c r="E10">
        <v>78.5</v>
      </c>
      <c r="F10" s="4" t="s">
        <v>123</v>
      </c>
      <c r="G10" s="4">
        <f>_xlfn.XLOOKUP("S007",A2:A101,D2:D101)</f>
        <v>9</v>
      </c>
      <c r="H10" s="4">
        <f>_xlfn.XLOOKUP("S024",A2:A101,D2:D101)</f>
        <v>4</v>
      </c>
      <c r="I10" s="3">
        <f>AVERAGEIF(C2:C101,"&lt;8",E2:E101)</f>
        <v>66.534782608695664</v>
      </c>
    </row>
    <row r="11" spans="1:12" x14ac:dyDescent="0.3">
      <c r="A11" t="s">
        <v>14</v>
      </c>
      <c r="B11">
        <v>84</v>
      </c>
      <c r="C11">
        <v>7.8</v>
      </c>
      <c r="D11">
        <v>5</v>
      </c>
      <c r="E11">
        <v>74.400000000000006</v>
      </c>
      <c r="F11" s="4" t="s">
        <v>117</v>
      </c>
      <c r="G11" s="4">
        <f>_xlfn.XLOOKUP("S007",A2:A101,E2:E101)</f>
        <v>98</v>
      </c>
      <c r="H11" s="4">
        <f>_xlfn.XLOOKUP("S024",A2:A101,E2:E101)</f>
        <v>51.8</v>
      </c>
    </row>
    <row r="12" spans="1:12" x14ac:dyDescent="0.3">
      <c r="A12" t="s">
        <v>15</v>
      </c>
      <c r="B12">
        <v>72.900000000000006</v>
      </c>
      <c r="C12">
        <v>2.2000000000000002</v>
      </c>
      <c r="D12">
        <v>10</v>
      </c>
      <c r="E12">
        <v>66.099999999999994</v>
      </c>
      <c r="F12" s="8" t="s">
        <v>129</v>
      </c>
      <c r="G12" s="8" t="s">
        <v>130</v>
      </c>
      <c r="H12" s="8" t="s">
        <v>131</v>
      </c>
    </row>
    <row r="13" spans="1:12" x14ac:dyDescent="0.3">
      <c r="A13" t="s">
        <v>16</v>
      </c>
      <c r="B13">
        <v>72.900000000000006</v>
      </c>
      <c r="C13">
        <v>7.9</v>
      </c>
      <c r="D13">
        <v>5</v>
      </c>
      <c r="E13">
        <v>70.599999999999994</v>
      </c>
      <c r="F13" s="3">
        <f>CORREL(B2:B101,E2:E101)</f>
        <v>0.29904665997284374</v>
      </c>
      <c r="G13" s="3">
        <f>CORREL(C2:C101,E2:E101)</f>
        <v>0.62327432242381575</v>
      </c>
      <c r="H13" s="3">
        <f>CORREL(D2:D101,E2:E101)</f>
        <v>0.50603255872747244</v>
      </c>
    </row>
    <row r="14" spans="1:12" x14ac:dyDescent="0.3">
      <c r="A14" t="s">
        <v>17</v>
      </c>
      <c r="B14">
        <v>80.7</v>
      </c>
      <c r="C14">
        <v>8.1999999999999993</v>
      </c>
      <c r="D14">
        <v>6</v>
      </c>
      <c r="E14">
        <v>66.599999999999994</v>
      </c>
    </row>
    <row r="15" spans="1:12" x14ac:dyDescent="0.3">
      <c r="A15" t="s">
        <v>18</v>
      </c>
      <c r="B15">
        <v>57</v>
      </c>
      <c r="C15">
        <v>15.4</v>
      </c>
      <c r="D15">
        <v>5</v>
      </c>
      <c r="E15">
        <v>81.599999999999994</v>
      </c>
    </row>
    <row r="16" spans="1:12" x14ac:dyDescent="0.3">
      <c r="A16" t="s">
        <v>19</v>
      </c>
      <c r="B16">
        <v>59</v>
      </c>
      <c r="C16">
        <v>7.4</v>
      </c>
      <c r="D16">
        <v>4</v>
      </c>
      <c r="E16">
        <v>56.4</v>
      </c>
    </row>
    <row r="17" spans="1:5" x14ac:dyDescent="0.3">
      <c r="A17" t="s">
        <v>20</v>
      </c>
      <c r="B17">
        <v>71.8</v>
      </c>
      <c r="C17">
        <v>8.9</v>
      </c>
      <c r="D17">
        <v>8</v>
      </c>
      <c r="E17">
        <v>61.8</v>
      </c>
    </row>
    <row r="18" spans="1:5" x14ac:dyDescent="0.3">
      <c r="A18" t="s">
        <v>21</v>
      </c>
      <c r="B18">
        <v>66.900000000000006</v>
      </c>
      <c r="C18">
        <v>7.9</v>
      </c>
      <c r="D18">
        <v>7</v>
      </c>
      <c r="E18">
        <v>68.7</v>
      </c>
    </row>
    <row r="19" spans="1:5" x14ac:dyDescent="0.3">
      <c r="A19" t="s">
        <v>22</v>
      </c>
      <c r="B19">
        <v>81.5</v>
      </c>
      <c r="C19">
        <v>4.5</v>
      </c>
      <c r="D19">
        <v>5</v>
      </c>
      <c r="E19">
        <v>58.2</v>
      </c>
    </row>
    <row r="20" spans="1:5" x14ac:dyDescent="0.3">
      <c r="A20" t="s">
        <v>23</v>
      </c>
      <c r="B20">
        <v>68</v>
      </c>
      <c r="C20">
        <v>11.4</v>
      </c>
      <c r="D20">
        <v>10</v>
      </c>
      <c r="E20">
        <v>88.7</v>
      </c>
    </row>
    <row r="21" spans="1:5" x14ac:dyDescent="0.3">
      <c r="A21" t="s">
        <v>24</v>
      </c>
      <c r="B21">
        <v>62.5</v>
      </c>
      <c r="C21">
        <v>10.3</v>
      </c>
      <c r="D21">
        <v>4</v>
      </c>
      <c r="E21">
        <v>65.3</v>
      </c>
    </row>
    <row r="22" spans="1:5" x14ac:dyDescent="0.3">
      <c r="A22" t="s">
        <v>25</v>
      </c>
      <c r="B22">
        <v>94.1</v>
      </c>
      <c r="C22">
        <v>10.4</v>
      </c>
      <c r="D22">
        <v>7</v>
      </c>
      <c r="E22">
        <v>83.6</v>
      </c>
    </row>
    <row r="23" spans="1:5" x14ac:dyDescent="0.3">
      <c r="A23" t="s">
        <v>26</v>
      </c>
      <c r="B23">
        <v>75.5</v>
      </c>
      <c r="C23">
        <v>5.3</v>
      </c>
      <c r="D23">
        <v>8</v>
      </c>
      <c r="E23">
        <v>69.400000000000006</v>
      </c>
    </row>
    <row r="24" spans="1:5" x14ac:dyDescent="0.3">
      <c r="A24" t="s">
        <v>27</v>
      </c>
      <c r="B24">
        <v>78.7</v>
      </c>
      <c r="C24">
        <v>12.2</v>
      </c>
      <c r="D24">
        <v>7</v>
      </c>
      <c r="E24">
        <v>80.599999999999994</v>
      </c>
    </row>
    <row r="25" spans="1:5" x14ac:dyDescent="0.3">
      <c r="A25" t="s">
        <v>28</v>
      </c>
      <c r="B25">
        <v>62.3</v>
      </c>
      <c r="C25">
        <v>3.8</v>
      </c>
      <c r="D25">
        <v>4</v>
      </c>
      <c r="E25">
        <v>51.8</v>
      </c>
    </row>
    <row r="26" spans="1:5" x14ac:dyDescent="0.3">
      <c r="A26" t="s">
        <v>29</v>
      </c>
      <c r="B26">
        <v>72</v>
      </c>
      <c r="C26">
        <v>9.8000000000000007</v>
      </c>
      <c r="D26">
        <v>9</v>
      </c>
      <c r="E26">
        <v>82.2</v>
      </c>
    </row>
    <row r="27" spans="1:5" x14ac:dyDescent="0.3">
      <c r="A27" t="s">
        <v>30</v>
      </c>
      <c r="B27">
        <v>79.2</v>
      </c>
      <c r="C27">
        <v>14.6</v>
      </c>
      <c r="D27">
        <v>9</v>
      </c>
      <c r="E27">
        <v>85.7</v>
      </c>
    </row>
    <row r="28" spans="1:5" x14ac:dyDescent="0.3">
      <c r="A28" t="s">
        <v>31</v>
      </c>
      <c r="B28">
        <v>65.3</v>
      </c>
      <c r="C28">
        <v>5</v>
      </c>
      <c r="D28">
        <v>7</v>
      </c>
      <c r="E28">
        <v>57.9</v>
      </c>
    </row>
    <row r="29" spans="1:5" x14ac:dyDescent="0.3">
      <c r="A29" t="s">
        <v>32</v>
      </c>
      <c r="B29">
        <v>82.1</v>
      </c>
      <c r="C29">
        <v>6.3</v>
      </c>
      <c r="D29">
        <v>6</v>
      </c>
      <c r="E29">
        <v>63.6</v>
      </c>
    </row>
    <row r="30" spans="1:5" x14ac:dyDescent="0.3">
      <c r="A30" t="s">
        <v>33</v>
      </c>
      <c r="B30">
        <v>71.400000000000006</v>
      </c>
      <c r="C30">
        <v>8.3000000000000007</v>
      </c>
      <c r="D30">
        <v>10</v>
      </c>
      <c r="E30">
        <v>83.4</v>
      </c>
    </row>
    <row r="31" spans="1:5" x14ac:dyDescent="0.3">
      <c r="A31" t="s">
        <v>34</v>
      </c>
      <c r="B31">
        <v>74.8</v>
      </c>
      <c r="C31">
        <v>6.5</v>
      </c>
      <c r="D31">
        <v>10</v>
      </c>
      <c r="E31">
        <v>70</v>
      </c>
    </row>
    <row r="32" spans="1:5" x14ac:dyDescent="0.3">
      <c r="A32" t="s">
        <v>35</v>
      </c>
      <c r="B32">
        <v>71.400000000000006</v>
      </c>
      <c r="C32">
        <v>3.3</v>
      </c>
      <c r="D32">
        <v>7</v>
      </c>
      <c r="E32">
        <v>59.1</v>
      </c>
    </row>
    <row r="33" spans="1:5" x14ac:dyDescent="0.3">
      <c r="A33" t="s">
        <v>36</v>
      </c>
      <c r="B33">
        <v>98</v>
      </c>
      <c r="C33">
        <v>8.1999999999999993</v>
      </c>
      <c r="D33">
        <v>5</v>
      </c>
      <c r="E33">
        <v>73.3</v>
      </c>
    </row>
    <row r="34" spans="1:5" x14ac:dyDescent="0.3">
      <c r="A34" t="s">
        <v>37</v>
      </c>
      <c r="B34">
        <v>77.900000000000006</v>
      </c>
      <c r="C34">
        <v>4.8</v>
      </c>
      <c r="D34">
        <v>5</v>
      </c>
      <c r="E34">
        <v>60.3</v>
      </c>
    </row>
    <row r="35" spans="1:5" x14ac:dyDescent="0.3">
      <c r="A35" t="s">
        <v>38</v>
      </c>
      <c r="B35">
        <v>66.400000000000006</v>
      </c>
      <c r="C35">
        <v>9.4</v>
      </c>
      <c r="D35">
        <v>10</v>
      </c>
      <c r="E35">
        <v>73.2</v>
      </c>
    </row>
    <row r="36" spans="1:5" x14ac:dyDescent="0.3">
      <c r="A36" t="s">
        <v>39</v>
      </c>
      <c r="B36">
        <v>87</v>
      </c>
      <c r="C36">
        <v>5.2</v>
      </c>
      <c r="D36">
        <v>10</v>
      </c>
      <c r="E36">
        <v>77.2</v>
      </c>
    </row>
    <row r="37" spans="1:5" x14ac:dyDescent="0.3">
      <c r="A37" t="s">
        <v>40</v>
      </c>
      <c r="B37">
        <v>64.599999999999994</v>
      </c>
      <c r="C37">
        <v>12.6</v>
      </c>
      <c r="D37">
        <v>9</v>
      </c>
      <c r="E37">
        <v>76.3</v>
      </c>
    </row>
    <row r="38" spans="1:5" x14ac:dyDescent="0.3">
      <c r="A38" t="s">
        <v>41</v>
      </c>
      <c r="B38">
        <v>80.3</v>
      </c>
      <c r="C38">
        <v>5.7</v>
      </c>
      <c r="D38">
        <v>6</v>
      </c>
      <c r="E38">
        <v>59.7</v>
      </c>
    </row>
    <row r="39" spans="1:5" x14ac:dyDescent="0.3">
      <c r="A39" t="s">
        <v>42</v>
      </c>
      <c r="B39">
        <v>56.4</v>
      </c>
      <c r="C39">
        <v>7</v>
      </c>
      <c r="D39">
        <v>4</v>
      </c>
      <c r="E39">
        <v>54.5</v>
      </c>
    </row>
    <row r="40" spans="1:5" x14ac:dyDescent="0.3">
      <c r="A40" t="s">
        <v>43</v>
      </c>
      <c r="B40">
        <v>63.4</v>
      </c>
      <c r="C40">
        <v>10.4</v>
      </c>
      <c r="D40">
        <v>5</v>
      </c>
      <c r="E40">
        <v>65.099999999999994</v>
      </c>
    </row>
    <row r="41" spans="1:5" x14ac:dyDescent="0.3">
      <c r="A41" t="s">
        <v>44</v>
      </c>
      <c r="B41">
        <v>80.2</v>
      </c>
      <c r="C41">
        <v>4.3</v>
      </c>
      <c r="D41">
        <v>10</v>
      </c>
      <c r="E41">
        <v>63.8</v>
      </c>
    </row>
    <row r="42" spans="1:5" x14ac:dyDescent="0.3">
      <c r="A42" t="s">
        <v>45</v>
      </c>
      <c r="B42">
        <v>86.1</v>
      </c>
      <c r="C42">
        <v>8.6999999999999993</v>
      </c>
      <c r="D42">
        <v>9</v>
      </c>
      <c r="E42">
        <v>78.900000000000006</v>
      </c>
    </row>
    <row r="43" spans="1:5" x14ac:dyDescent="0.3">
      <c r="A43" t="s">
        <v>46</v>
      </c>
      <c r="B43">
        <v>79.900000000000006</v>
      </c>
      <c r="C43">
        <v>11.9</v>
      </c>
      <c r="D43">
        <v>8</v>
      </c>
      <c r="E43">
        <v>75.2</v>
      </c>
    </row>
    <row r="44" spans="1:5" x14ac:dyDescent="0.3">
      <c r="A44" t="s">
        <v>47</v>
      </c>
      <c r="B44">
        <v>76.7</v>
      </c>
      <c r="C44">
        <v>3.2</v>
      </c>
      <c r="D44">
        <v>9</v>
      </c>
      <c r="E44">
        <v>73.7</v>
      </c>
    </row>
    <row r="45" spans="1:5" x14ac:dyDescent="0.3">
      <c r="A45" t="s">
        <v>48</v>
      </c>
      <c r="B45">
        <v>74.7</v>
      </c>
      <c r="C45">
        <v>8.6</v>
      </c>
      <c r="D45">
        <v>5</v>
      </c>
      <c r="E45">
        <v>61.6</v>
      </c>
    </row>
    <row r="46" spans="1:5" x14ac:dyDescent="0.3">
      <c r="A46" t="s">
        <v>49</v>
      </c>
      <c r="B46">
        <v>61.7</v>
      </c>
      <c r="C46">
        <v>8.8000000000000007</v>
      </c>
      <c r="D46">
        <v>5</v>
      </c>
      <c r="E46">
        <v>61.7</v>
      </c>
    </row>
    <row r="47" spans="1:5" x14ac:dyDescent="0.3">
      <c r="A47" t="s">
        <v>50</v>
      </c>
      <c r="B47">
        <v>70.099999999999994</v>
      </c>
      <c r="C47">
        <v>10.3</v>
      </c>
      <c r="D47">
        <v>9</v>
      </c>
      <c r="E47">
        <v>76.400000000000006</v>
      </c>
    </row>
    <row r="48" spans="1:5" x14ac:dyDescent="0.3">
      <c r="A48" t="s">
        <v>51</v>
      </c>
      <c r="B48">
        <v>72.900000000000006</v>
      </c>
      <c r="C48">
        <v>4.3</v>
      </c>
      <c r="D48">
        <v>4</v>
      </c>
      <c r="E48">
        <v>65.599999999999994</v>
      </c>
    </row>
    <row r="49" spans="1:5" x14ac:dyDescent="0.3">
      <c r="A49" t="s">
        <v>52</v>
      </c>
      <c r="B49">
        <v>89.6</v>
      </c>
      <c r="C49">
        <v>4</v>
      </c>
      <c r="D49">
        <v>7</v>
      </c>
      <c r="E49">
        <v>59.1</v>
      </c>
    </row>
    <row r="50" spans="1:5" x14ac:dyDescent="0.3">
      <c r="A50" t="s">
        <v>53</v>
      </c>
      <c r="B50">
        <v>81.8</v>
      </c>
      <c r="C50">
        <v>9.6</v>
      </c>
      <c r="D50">
        <v>5</v>
      </c>
      <c r="E50">
        <v>74.5</v>
      </c>
    </row>
    <row r="51" spans="1:5" x14ac:dyDescent="0.3">
      <c r="A51" t="s">
        <v>54</v>
      </c>
      <c r="B51">
        <v>58.6</v>
      </c>
      <c r="C51">
        <v>8.9</v>
      </c>
      <c r="D51">
        <v>9</v>
      </c>
      <c r="E51">
        <v>76.5</v>
      </c>
    </row>
    <row r="52" spans="1:5" x14ac:dyDescent="0.3">
      <c r="A52" t="s">
        <v>55</v>
      </c>
      <c r="B52">
        <v>81.599999999999994</v>
      </c>
      <c r="C52">
        <v>8.8000000000000007</v>
      </c>
      <c r="D52">
        <v>10</v>
      </c>
      <c r="E52">
        <v>79.400000000000006</v>
      </c>
    </row>
    <row r="53" spans="1:5" x14ac:dyDescent="0.3">
      <c r="A53" t="s">
        <v>56</v>
      </c>
      <c r="B53">
        <v>73.8</v>
      </c>
      <c r="C53">
        <v>9</v>
      </c>
      <c r="D53">
        <v>9</v>
      </c>
      <c r="E53">
        <v>71</v>
      </c>
    </row>
    <row r="54" spans="1:5" x14ac:dyDescent="0.3">
      <c r="A54" t="s">
        <v>57</v>
      </c>
      <c r="B54">
        <v>70.599999999999994</v>
      </c>
      <c r="C54">
        <v>6</v>
      </c>
      <c r="D54">
        <v>6</v>
      </c>
      <c r="E54">
        <v>63.2</v>
      </c>
    </row>
    <row r="55" spans="1:5" x14ac:dyDescent="0.3">
      <c r="A55" t="s">
        <v>58</v>
      </c>
      <c r="B55">
        <v>84.7</v>
      </c>
      <c r="C55">
        <v>8.6999999999999993</v>
      </c>
      <c r="D55">
        <v>7</v>
      </c>
      <c r="E55">
        <v>84</v>
      </c>
    </row>
    <row r="56" spans="1:5" x14ac:dyDescent="0.3">
      <c r="A56" t="s">
        <v>59</v>
      </c>
      <c r="B56">
        <v>89.3</v>
      </c>
      <c r="C56">
        <v>8.9</v>
      </c>
      <c r="D56">
        <v>8</v>
      </c>
      <c r="E56">
        <v>77.2</v>
      </c>
    </row>
    <row r="57" spans="1:5" x14ac:dyDescent="0.3">
      <c r="A57" t="s">
        <v>60</v>
      </c>
      <c r="B57">
        <v>88.2</v>
      </c>
      <c r="C57">
        <v>5.9</v>
      </c>
      <c r="D57">
        <v>4</v>
      </c>
      <c r="E57">
        <v>73.2</v>
      </c>
    </row>
    <row r="58" spans="1:5" x14ac:dyDescent="0.3">
      <c r="A58" t="s">
        <v>61</v>
      </c>
      <c r="B58">
        <v>68.8</v>
      </c>
      <c r="C58">
        <v>13.6</v>
      </c>
      <c r="D58">
        <v>8</v>
      </c>
      <c r="E58">
        <v>84.7</v>
      </c>
    </row>
    <row r="59" spans="1:5" x14ac:dyDescent="0.3">
      <c r="A59" t="s">
        <v>62</v>
      </c>
      <c r="B59">
        <v>74.599999999999994</v>
      </c>
      <c r="C59">
        <v>9.4</v>
      </c>
      <c r="D59">
        <v>7</v>
      </c>
      <c r="E59">
        <v>80.599999999999994</v>
      </c>
    </row>
    <row r="60" spans="1:5" x14ac:dyDescent="0.3">
      <c r="A60" t="s">
        <v>63</v>
      </c>
      <c r="B60">
        <v>81.599999999999994</v>
      </c>
      <c r="C60">
        <v>4.4000000000000004</v>
      </c>
      <c r="D60">
        <v>7</v>
      </c>
      <c r="E60">
        <v>66.900000000000006</v>
      </c>
    </row>
    <row r="61" spans="1:5" x14ac:dyDescent="0.3">
      <c r="A61" t="s">
        <v>64</v>
      </c>
      <c r="B61">
        <v>88.7</v>
      </c>
      <c r="C61">
        <v>10</v>
      </c>
      <c r="D61">
        <v>7</v>
      </c>
      <c r="E61">
        <v>78.2</v>
      </c>
    </row>
    <row r="62" spans="1:5" x14ac:dyDescent="0.3">
      <c r="A62" t="s">
        <v>65</v>
      </c>
      <c r="B62">
        <v>72.7</v>
      </c>
      <c r="C62">
        <v>5.0999999999999996</v>
      </c>
      <c r="D62">
        <v>8</v>
      </c>
      <c r="E62">
        <v>74.3</v>
      </c>
    </row>
    <row r="63" spans="1:5" x14ac:dyDescent="0.3">
      <c r="A63" t="s">
        <v>66</v>
      </c>
      <c r="B63">
        <v>76</v>
      </c>
      <c r="C63">
        <v>10.4</v>
      </c>
      <c r="D63">
        <v>10</v>
      </c>
      <c r="E63">
        <v>83.6</v>
      </c>
    </row>
    <row r="64" spans="1:5" x14ac:dyDescent="0.3">
      <c r="A64" t="s">
        <v>67</v>
      </c>
      <c r="B64">
        <v>65.8</v>
      </c>
      <c r="C64">
        <v>11.5</v>
      </c>
      <c r="D64">
        <v>7</v>
      </c>
      <c r="E64">
        <v>76.8</v>
      </c>
    </row>
    <row r="65" spans="1:5" x14ac:dyDescent="0.3">
      <c r="A65" t="s">
        <v>68</v>
      </c>
      <c r="B65">
        <v>64.8</v>
      </c>
      <c r="C65">
        <v>5.5</v>
      </c>
      <c r="D65">
        <v>9</v>
      </c>
      <c r="E65">
        <v>70</v>
      </c>
    </row>
    <row r="66" spans="1:5" x14ac:dyDescent="0.3">
      <c r="A66" t="s">
        <v>69</v>
      </c>
      <c r="B66">
        <v>86.9</v>
      </c>
      <c r="C66">
        <v>10.9</v>
      </c>
      <c r="D66">
        <v>8</v>
      </c>
      <c r="E66">
        <v>88.4</v>
      </c>
    </row>
    <row r="67" spans="1:5" x14ac:dyDescent="0.3">
      <c r="A67" t="s">
        <v>70</v>
      </c>
      <c r="B67">
        <v>92.9</v>
      </c>
      <c r="C67">
        <v>9.1999999999999993</v>
      </c>
      <c r="D67">
        <v>7</v>
      </c>
      <c r="E67">
        <v>84.4</v>
      </c>
    </row>
    <row r="68" spans="1:5" x14ac:dyDescent="0.3">
      <c r="A68" t="s">
        <v>71</v>
      </c>
      <c r="B68">
        <v>77.2</v>
      </c>
      <c r="C68">
        <v>10.5</v>
      </c>
      <c r="D68">
        <v>9</v>
      </c>
      <c r="E68">
        <v>74.599999999999994</v>
      </c>
    </row>
    <row r="69" spans="1:5" x14ac:dyDescent="0.3">
      <c r="A69" t="s">
        <v>72</v>
      </c>
      <c r="B69">
        <v>89</v>
      </c>
      <c r="C69">
        <v>13.7</v>
      </c>
      <c r="D69">
        <v>10</v>
      </c>
      <c r="E69">
        <v>91.1</v>
      </c>
    </row>
    <row r="70" spans="1:5" x14ac:dyDescent="0.3">
      <c r="A70" t="s">
        <v>73</v>
      </c>
      <c r="B70">
        <v>82</v>
      </c>
      <c r="C70">
        <v>7.3</v>
      </c>
      <c r="D70">
        <v>6</v>
      </c>
      <c r="E70">
        <v>67.3</v>
      </c>
    </row>
    <row r="71" spans="1:5" x14ac:dyDescent="0.3">
      <c r="A71" t="s">
        <v>74</v>
      </c>
      <c r="B71">
        <v>70.900000000000006</v>
      </c>
      <c r="C71">
        <v>5.7</v>
      </c>
      <c r="D71">
        <v>10</v>
      </c>
      <c r="E71">
        <v>66.5</v>
      </c>
    </row>
    <row r="72" spans="1:5" x14ac:dyDescent="0.3">
      <c r="A72" t="s">
        <v>75</v>
      </c>
      <c r="B72">
        <v>82</v>
      </c>
      <c r="C72">
        <v>5.3</v>
      </c>
      <c r="D72">
        <v>7</v>
      </c>
      <c r="E72">
        <v>63.6</v>
      </c>
    </row>
    <row r="73" spans="1:5" x14ac:dyDescent="0.3">
      <c r="A73" t="s">
        <v>76</v>
      </c>
      <c r="B73">
        <v>94.9</v>
      </c>
      <c r="C73">
        <v>5.6</v>
      </c>
      <c r="D73">
        <v>8</v>
      </c>
      <c r="E73">
        <v>71.599999999999994</v>
      </c>
    </row>
    <row r="74" spans="1:5" x14ac:dyDescent="0.3">
      <c r="A74" t="s">
        <v>77</v>
      </c>
      <c r="B74">
        <v>77.599999999999994</v>
      </c>
      <c r="C74">
        <v>7.8</v>
      </c>
      <c r="D74">
        <v>5</v>
      </c>
      <c r="E74">
        <v>70</v>
      </c>
    </row>
    <row r="75" spans="1:5" x14ac:dyDescent="0.3">
      <c r="A75" t="s">
        <v>78</v>
      </c>
      <c r="B75">
        <v>95.2</v>
      </c>
      <c r="C75">
        <v>9</v>
      </c>
      <c r="D75">
        <v>7</v>
      </c>
      <c r="E75">
        <v>83.2</v>
      </c>
    </row>
    <row r="76" spans="1:5" x14ac:dyDescent="0.3">
      <c r="A76" t="s">
        <v>79</v>
      </c>
      <c r="B76">
        <v>49.2</v>
      </c>
      <c r="C76">
        <v>8.8000000000000007</v>
      </c>
      <c r="D76">
        <v>5</v>
      </c>
      <c r="E76">
        <v>60.6</v>
      </c>
    </row>
    <row r="77" spans="1:5" x14ac:dyDescent="0.3">
      <c r="A77" t="s">
        <v>80</v>
      </c>
      <c r="B77">
        <v>87</v>
      </c>
      <c r="C77">
        <v>10.5</v>
      </c>
      <c r="D77">
        <v>9</v>
      </c>
      <c r="E77">
        <v>82.6</v>
      </c>
    </row>
    <row r="78" spans="1:5" x14ac:dyDescent="0.3">
      <c r="A78" t="s">
        <v>81</v>
      </c>
      <c r="B78">
        <v>79</v>
      </c>
      <c r="C78">
        <v>8</v>
      </c>
      <c r="D78">
        <v>6</v>
      </c>
      <c r="E78">
        <v>77.400000000000006</v>
      </c>
    </row>
    <row r="79" spans="1:5" x14ac:dyDescent="0.3">
      <c r="A79" t="s">
        <v>82</v>
      </c>
      <c r="B79">
        <v>74.7</v>
      </c>
      <c r="C79">
        <v>12.4</v>
      </c>
      <c r="D79">
        <v>4</v>
      </c>
      <c r="E79">
        <v>75.2</v>
      </c>
    </row>
    <row r="80" spans="1:5" x14ac:dyDescent="0.3">
      <c r="A80" t="s">
        <v>83</v>
      </c>
      <c r="B80">
        <v>79</v>
      </c>
      <c r="C80">
        <v>7.2</v>
      </c>
      <c r="D80">
        <v>10</v>
      </c>
      <c r="E80">
        <v>81.2</v>
      </c>
    </row>
    <row r="81" spans="1:5" x14ac:dyDescent="0.3">
      <c r="A81" t="s">
        <v>84</v>
      </c>
      <c r="B81">
        <v>56.1</v>
      </c>
      <c r="C81">
        <v>16.2</v>
      </c>
      <c r="D81">
        <v>6</v>
      </c>
      <c r="E81">
        <v>78.2</v>
      </c>
    </row>
    <row r="82" spans="1:5" x14ac:dyDescent="0.3">
      <c r="A82" t="s">
        <v>85</v>
      </c>
      <c r="B82">
        <v>75.599999999999994</v>
      </c>
      <c r="C82">
        <v>9.9</v>
      </c>
      <c r="D82">
        <v>7</v>
      </c>
      <c r="E82">
        <v>77.900000000000006</v>
      </c>
    </row>
    <row r="83" spans="1:5" x14ac:dyDescent="0.3">
      <c r="A83" t="s">
        <v>86</v>
      </c>
      <c r="B83">
        <v>81.900000000000006</v>
      </c>
      <c r="C83">
        <v>5.4</v>
      </c>
      <c r="D83">
        <v>5</v>
      </c>
      <c r="E83">
        <v>71.3</v>
      </c>
    </row>
    <row r="84" spans="1:5" x14ac:dyDescent="0.3">
      <c r="A84" t="s">
        <v>87</v>
      </c>
      <c r="B84">
        <v>94.3</v>
      </c>
      <c r="C84">
        <v>4.8</v>
      </c>
      <c r="D84">
        <v>10</v>
      </c>
      <c r="E84">
        <v>63.5</v>
      </c>
    </row>
    <row r="85" spans="1:5" x14ac:dyDescent="0.3">
      <c r="A85" t="s">
        <v>88</v>
      </c>
      <c r="B85">
        <v>72.3</v>
      </c>
      <c r="C85">
        <v>9.4</v>
      </c>
      <c r="D85">
        <v>5</v>
      </c>
      <c r="E85">
        <v>66.7</v>
      </c>
    </row>
    <row r="86" spans="1:5" x14ac:dyDescent="0.3">
      <c r="A86" t="s">
        <v>89</v>
      </c>
      <c r="B86">
        <v>69.099999999999994</v>
      </c>
      <c r="C86">
        <v>7.3</v>
      </c>
      <c r="D86">
        <v>8</v>
      </c>
      <c r="E86">
        <v>72.599999999999994</v>
      </c>
    </row>
    <row r="87" spans="1:5" x14ac:dyDescent="0.3">
      <c r="A87" t="s">
        <v>90</v>
      </c>
      <c r="B87">
        <v>72.5</v>
      </c>
      <c r="C87">
        <v>10.1</v>
      </c>
      <c r="D87">
        <v>5</v>
      </c>
      <c r="E87">
        <v>77.7</v>
      </c>
    </row>
    <row r="88" spans="1:5" x14ac:dyDescent="0.3">
      <c r="A88" t="s">
        <v>91</v>
      </c>
      <c r="B88">
        <v>88.1</v>
      </c>
      <c r="C88">
        <v>9.4</v>
      </c>
      <c r="D88">
        <v>8</v>
      </c>
      <c r="E88">
        <v>81.900000000000006</v>
      </c>
    </row>
    <row r="89" spans="1:5" x14ac:dyDescent="0.3">
      <c r="A89" t="s">
        <v>92</v>
      </c>
      <c r="B89">
        <v>81.599999999999994</v>
      </c>
      <c r="C89">
        <v>7.8</v>
      </c>
      <c r="D89">
        <v>9</v>
      </c>
      <c r="E89">
        <v>77.2</v>
      </c>
    </row>
    <row r="90" spans="1:5" x14ac:dyDescent="0.3">
      <c r="A90" t="s">
        <v>93</v>
      </c>
      <c r="B90">
        <v>72.2</v>
      </c>
      <c r="C90">
        <v>5.5</v>
      </c>
      <c r="D90">
        <v>10</v>
      </c>
      <c r="E90">
        <v>78.400000000000006</v>
      </c>
    </row>
    <row r="91" spans="1:5" x14ac:dyDescent="0.3">
      <c r="A91" t="s">
        <v>94</v>
      </c>
      <c r="B91">
        <v>83.6</v>
      </c>
      <c r="C91">
        <v>3.5</v>
      </c>
      <c r="D91">
        <v>10</v>
      </c>
      <c r="E91">
        <v>76.3</v>
      </c>
    </row>
    <row r="92" spans="1:5" x14ac:dyDescent="0.3">
      <c r="A92" t="s">
        <v>95</v>
      </c>
      <c r="B92">
        <v>79.099999999999994</v>
      </c>
      <c r="C92">
        <v>6.7</v>
      </c>
      <c r="D92">
        <v>4</v>
      </c>
      <c r="E92">
        <v>60.3</v>
      </c>
    </row>
    <row r="93" spans="1:5" x14ac:dyDescent="0.3">
      <c r="A93" t="s">
        <v>96</v>
      </c>
      <c r="B93">
        <v>88.7</v>
      </c>
      <c r="C93">
        <v>10.6</v>
      </c>
      <c r="D93">
        <v>7</v>
      </c>
      <c r="E93">
        <v>82.5</v>
      </c>
    </row>
    <row r="94" spans="1:5" x14ac:dyDescent="0.3">
      <c r="A94" t="s">
        <v>97</v>
      </c>
      <c r="B94">
        <v>70.3</v>
      </c>
      <c r="C94">
        <v>8.6</v>
      </c>
      <c r="D94">
        <v>8</v>
      </c>
      <c r="E94">
        <v>74.7</v>
      </c>
    </row>
    <row r="95" spans="1:5" x14ac:dyDescent="0.3">
      <c r="A95" t="s">
        <v>98</v>
      </c>
      <c r="B95">
        <v>74.400000000000006</v>
      </c>
      <c r="C95">
        <v>4.3</v>
      </c>
      <c r="D95">
        <v>4</v>
      </c>
      <c r="E95">
        <v>66.3</v>
      </c>
    </row>
    <row r="96" spans="1:5" x14ac:dyDescent="0.3">
      <c r="A96" t="s">
        <v>99</v>
      </c>
      <c r="B96">
        <v>73.7</v>
      </c>
      <c r="C96">
        <v>8.5</v>
      </c>
      <c r="D96">
        <v>5</v>
      </c>
      <c r="E96">
        <v>72.8</v>
      </c>
    </row>
    <row r="97" spans="1:5" x14ac:dyDescent="0.3">
      <c r="A97" t="s">
        <v>100</v>
      </c>
      <c r="B97">
        <v>61.9</v>
      </c>
      <c r="C97">
        <v>9.1999999999999993</v>
      </c>
      <c r="D97">
        <v>5</v>
      </c>
      <c r="E97">
        <v>65.400000000000006</v>
      </c>
    </row>
    <row r="98" spans="1:5" x14ac:dyDescent="0.3">
      <c r="A98" t="s">
        <v>101</v>
      </c>
      <c r="B98">
        <v>81.3</v>
      </c>
      <c r="C98">
        <v>5.3</v>
      </c>
      <c r="D98">
        <v>4</v>
      </c>
      <c r="E98">
        <v>63.4</v>
      </c>
    </row>
    <row r="99" spans="1:5" x14ac:dyDescent="0.3">
      <c r="A99" t="s">
        <v>102</v>
      </c>
      <c r="B99">
        <v>80.900000000000006</v>
      </c>
      <c r="C99">
        <v>8.5</v>
      </c>
      <c r="D99">
        <v>10</v>
      </c>
      <c r="E99">
        <v>70.599999999999994</v>
      </c>
    </row>
    <row r="100" spans="1:5" x14ac:dyDescent="0.3">
      <c r="A100" t="s">
        <v>103</v>
      </c>
      <c r="B100">
        <v>78.099999999999994</v>
      </c>
      <c r="C100">
        <v>8.1999999999999993</v>
      </c>
      <c r="D100">
        <v>5</v>
      </c>
      <c r="E100">
        <v>74.2</v>
      </c>
    </row>
    <row r="101" spans="1:5" x14ac:dyDescent="0.3">
      <c r="A101" t="s">
        <v>104</v>
      </c>
      <c r="B101">
        <v>75.400000000000006</v>
      </c>
      <c r="C101">
        <v>4.5999999999999996</v>
      </c>
      <c r="D101">
        <v>9</v>
      </c>
      <c r="E101">
        <v>70.900000000000006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Student_Data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rainadas20192375@outlook.com</cp:lastModifiedBy>
  <dcterms:created xsi:type="dcterms:W3CDTF">2026-08-27T16:04:28Z</dcterms:created>
  <dcterms:modified xsi:type="dcterms:W3CDTF">2026-08-28T16:54:08Z</dcterms:modified>
</cp:coreProperties>
</file>